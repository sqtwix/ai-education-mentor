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D4" i="2"/>
  <c r="C4" i="2"/>
  <c r="E4" i="2"/>
  <c r="B4" i="2" l="1"/>
  <c r="G4" i="2" l="1"/>
</calcChain>
</file>

<file path=xl/sharedStrings.xml><?xml version="1.0" encoding="utf-8"?>
<sst xmlns="http://schemas.openxmlformats.org/spreadsheetml/2006/main" count="532" uniqueCount="207">
  <si>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</si>
  <si>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</si>
  <si>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</si>
  <si>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</si>
  <si>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</si>
  <si>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</si>
  <si>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</si>
  <si>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</si>
  <si>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</si>
  <si>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</si>
  <si>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</si>
  <si>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</si>
  <si>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</si>
  <si>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</si>
  <si>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</si>
  <si>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</si>
  <si>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</si>
  <si>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</si>
  <si>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</si>
  <si>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</si>
  <si>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</si>
  <si>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</si>
  <si>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</si>
  <si>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</si>
  <si>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</si>
  <si>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</si>
  <si>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</si>
  <si>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</si>
  <si>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</si>
  <si>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</si>
  <si>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</si>
  <si>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</si>
  <si>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</si>
  <si>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руководитель</t>
  </si>
  <si>
    <t>Интересная тема</t>
  </si>
  <si>
    <t>Вопросы делегирования задач и индивидуальный подход в управлении .</t>
  </si>
  <si>
    <t>Все</t>
  </si>
  <si>
    <t>да</t>
  </si>
  <si>
    <t>-</t>
  </si>
  <si>
    <t>Никакие</t>
  </si>
  <si>
    <t>Никакими, все хорошо</t>
  </si>
  <si>
    <t>Все хорошо</t>
  </si>
  <si>
    <t>нет</t>
  </si>
  <si>
    <t>Все было хорошо.</t>
  </si>
  <si>
    <t>очное обучение в аудиториях Корпоративного университета</t>
  </si>
  <si>
    <t>Очное обучение помогает лучше взаимодействовать с коучем и коллегами, дает возможность  задавать вопросы во время обучения и в перерыве, помогает обрести новые знакомства.</t>
  </si>
  <si>
    <t>Эта тема полезна для моей служебной деятельности</t>
  </si>
  <si>
    <t>Мотивация</t>
  </si>
  <si>
    <t>Опыт работы с разными психотипами</t>
  </si>
  <si>
    <t>никакие</t>
  </si>
  <si>
    <t>пирамида ценностей по Маслоу</t>
  </si>
  <si>
    <t>Больше теории</t>
  </si>
  <si>
    <t>хотелось бы получить больше новой информации</t>
  </si>
  <si>
    <t>полностью дистанционный формат обучения</t>
  </si>
  <si>
    <t>Все отлично</t>
  </si>
  <si>
    <t>интересная тема</t>
  </si>
  <si>
    <t>Психотипы сотрудников</t>
  </si>
  <si>
    <t>Мотивация сотрудников</t>
  </si>
  <si>
    <t>Все темы интересны</t>
  </si>
  <si>
    <t>Была вовлеченность на 100%</t>
  </si>
  <si>
    <t>улучшить компетенции</t>
  </si>
  <si>
    <t>управление по психотипам, профайлинг</t>
  </si>
  <si>
    <t>получилось затянуто обсуждение личных мотиваторов</t>
  </si>
  <si>
    <t>профайлинг</t>
  </si>
  <si>
    <t>большее участие каждого слушателя программы</t>
  </si>
  <si>
    <t>Во второй день после обеда было тяжело удерживать внимание, когда обсуждали личные мотиваторы, следует использовать другой формат обсуждения этой темы при такой большой аудитории.</t>
  </si>
  <si>
    <t>вся информация была предоставлена вовремя, сложностей в прохождении курса не возникло</t>
  </si>
  <si>
    <t>Повышение уровня знаний в данной  сфере</t>
  </si>
  <si>
    <t>Типы личности</t>
  </si>
  <si>
    <t>навыки конструктивного общения с разными типами личностей</t>
  </si>
  <si>
    <t>все отлично</t>
  </si>
  <si>
    <t>ничего</t>
  </si>
  <si>
    <t>интерес</t>
  </si>
  <si>
    <t>все очень организовано</t>
  </si>
  <si>
    <t>хотела повысить профессиональный свой уровень как руководителя</t>
  </si>
  <si>
    <t>противодействие манипуляции</t>
  </si>
  <si>
    <t>была вовлечена на 100%</t>
  </si>
  <si>
    <t>Спасибо.</t>
  </si>
  <si>
    <t>хотела получить новые навыки</t>
  </si>
  <si>
    <t>способы работы с коллективом</t>
  </si>
  <si>
    <t>соотношение людей по разным типам</t>
  </si>
  <si>
    <t>нет таких. все полезно</t>
  </si>
  <si>
    <t>нет таких. всего достаточно</t>
  </si>
  <si>
    <t>ничего. все полезно</t>
  </si>
  <si>
    <t>ничего. была вовлечена</t>
  </si>
  <si>
    <t>смешанное обучение: частично очно, частично дистанционно</t>
  </si>
  <si>
    <t>Спасибо коучу</t>
  </si>
  <si>
    <t>Систематизировать знания</t>
  </si>
  <si>
    <t>Делегирование, мотивация</t>
  </si>
  <si>
    <t>Психотипы</t>
  </si>
  <si>
    <t>В качестве примеров, кейсов - ситуации на госслужбе</t>
  </si>
  <si>
    <t>Увеличить их количество и приблизить к госслужбе</t>
  </si>
  <si>
    <t>Ориентированность программы на госслужбу</t>
  </si>
  <si>
    <t>Большое спасибо!</t>
  </si>
  <si>
    <t>Получение новых навыков коммуникации с коллективом</t>
  </si>
  <si>
    <t>взаимодействие с коллективом</t>
  </si>
  <si>
    <t>коммуникации</t>
  </si>
  <si>
    <t>нет10</t>
  </si>
  <si>
    <t>достаточно</t>
  </si>
  <si>
    <t>полная вовлеченность</t>
  </si>
  <si>
    <t>Спасибо преподавателю  и коллективу университета</t>
  </si>
  <si>
    <t>опыт руководителя менее года</t>
  </si>
  <si>
    <t>делегирование, мотивация персонала</t>
  </si>
  <si>
    <t>делегирование, распределение сотрудников по психотипам, распределение задач в соответствии с психотипами</t>
  </si>
  <si>
    <t>Некоторые вопросы раскрыты не полностью, хотелось бы больше информации</t>
  </si>
  <si>
    <t>все полезны</t>
  </si>
  <si>
    <t>Отличная командная работа на результат</t>
  </si>
  <si>
    <t>Считаю данный курс обязательным для руководителей. Как возможность узнать новое или посмотреть на это с других сторон.</t>
  </si>
  <si>
    <t>Делегирование, психотипы, манипуляции.</t>
  </si>
  <si>
    <t>Определение психотипов и инструменты борьбы с вазражениями.</t>
  </si>
  <si>
    <t>Все оставить</t>
  </si>
  <si>
    <t>Чуть больше игровых форм и кейсов готовых.</t>
  </si>
  <si>
    <t>Манипуляции подчиненных.</t>
  </si>
  <si>
    <t>Все было понятно</t>
  </si>
  <si>
    <t>Заинтересовала тема обучения</t>
  </si>
  <si>
    <t>Мотивация персонала</t>
  </si>
  <si>
    <t>Это преждевременный вопрос</t>
  </si>
  <si>
    <t>Наоборот, целесообразно углубление программы</t>
  </si>
  <si>
    <t>Проецирование на органы государственной власти с учетом специфики организации</t>
  </si>
  <si>
    <t>Затрудняюсь ответить</t>
  </si>
  <si>
    <t>Практическое применение в органах власти</t>
  </si>
  <si>
    <t>Отвлечение на частные вопросы аудитории</t>
  </si>
  <si>
    <t>Глубина погружения</t>
  </si>
  <si>
    <t>Никаких замечаний нет</t>
  </si>
  <si>
    <t>Для получения новой информации и подходов к управлению персоналом</t>
  </si>
  <si>
    <t>Вопросы подхода к сотрудникам</t>
  </si>
  <si>
    <t>Взаимодействие с разными психотипами сотрудников, лояльность, одинаковое отношение ко всем</t>
  </si>
  <si>
    <t>Больше практики</t>
  </si>
  <si>
    <t>Еще больше практики</t>
  </si>
  <si>
    <t>Дополнительные навыки</t>
  </si>
  <si>
    <t>Типы темпераминта</t>
  </si>
  <si>
    <t>Защита от манипулаций</t>
  </si>
  <si>
    <t>Нет таких вопросов</t>
  </si>
  <si>
    <t>Контраргументацию
Больше практический примеров и ситуаций</t>
  </si>
  <si>
    <t>Дополнить время</t>
  </si>
  <si>
    <t>Ничего</t>
  </si>
  <si>
    <t>Обучение прошло отлично!</t>
  </si>
  <si>
    <t>интересно узнать что-то новое</t>
  </si>
  <si>
    <t>все актуальны</t>
  </si>
  <si>
    <t>все знания смогу применить</t>
  </si>
  <si>
    <t>ничего исключать не надо</t>
  </si>
  <si>
    <t>я была полностью вовлечена</t>
  </si>
  <si>
    <t>было эффективно и понятно.</t>
  </si>
  <si>
    <t>В целях развития управленческих навыков</t>
  </si>
  <si>
    <t>Выбор стиля управления под конкретного подчиненного + профайлинг</t>
  </si>
  <si>
    <t>Оценка психотипов работников</t>
  </si>
  <si>
    <t>.</t>
  </si>
  <si>
    <t>Все актуально</t>
  </si>
  <si>
    <t>Разбор частых сложностей возникающих между руководителями и подчиненными</t>
  </si>
  <si>
    <t>Разбор живых примеров конфликтных ситуаций</t>
  </si>
  <si>
    <t>Для совершенствования профессиональных навыков управления, изучения способов делегирования задач, решение вопроса переработки</t>
  </si>
  <si>
    <t>Делегирование задач
Защита от манипулирования</t>
  </si>
  <si>
    <t>Делегирование задач</t>
  </si>
  <si>
    <t>Работа с зумерами</t>
  </si>
  <si>
    <t>Более углубленное изучение конфликтных ситуаций, рекомендации по принятию управленческих решений, практические навыки постановки задач, способы контроля, поощрение сотрудников в отсутствие возможности финансовых бонусов</t>
  </si>
  <si>
    <t>Больше конкретных примеров</t>
  </si>
  <si>
    <t>Иногда долго обсуждали тему</t>
  </si>
  <si>
    <t>Больше практических инструментов для использования в работе</t>
  </si>
  <si>
    <t>По участию в обучении была доведена вся информация, всё было понятно</t>
  </si>
  <si>
    <t>заинтересовала тема</t>
  </si>
  <si>
    <t>делегирование полномочий</t>
  </si>
  <si>
    <t>программа не проработана, много "воды"</t>
  </si>
  <si>
    <t>психологию</t>
  </si>
  <si>
    <t>управление персоналом</t>
  </si>
  <si>
    <t>много лишней информации</t>
  </si>
  <si>
    <t>неинтересное изложение материала</t>
  </si>
  <si>
    <t>более четкое изложение материала</t>
  </si>
  <si>
    <t>команда корпоративного университета, как всегда, на высоте</t>
  </si>
  <si>
    <t>получение нового опыта</t>
  </si>
  <si>
    <t>мотивация, манипуляции</t>
  </si>
  <si>
    <t>сформулированы алгоритмы действий для типовых ситуаций</t>
  </si>
  <si>
    <t>разбор типовых ситуаций в условиях большей конкретики, больших вводных</t>
  </si>
  <si>
    <t>отличная командная работа</t>
  </si>
  <si>
    <t>Повышение компетенций</t>
  </si>
  <si>
    <t>работа с манипуляторами</t>
  </si>
  <si>
    <t>знания пригодятся в общении с подчиненными</t>
  </si>
  <si>
    <t>Получить новые знания</t>
  </si>
  <si>
    <t>Все вопросы раскрыты и применимы в процессе работы.</t>
  </si>
  <si>
    <t>Все необходимы.</t>
  </si>
  <si>
    <t>Увеличить до 5 дней.</t>
  </si>
  <si>
    <t>Все было очень итересно.</t>
  </si>
  <si>
    <t>Команда вовлечена в процесс полностью, было интересно.</t>
  </si>
  <si>
    <t>Чтобы получить новые теоретические и практические знания.</t>
  </si>
  <si>
    <t>Всё, так как какие-то оказались новыми, а уже знакомые рассматривались под иным углом зрения.</t>
  </si>
  <si>
    <t>Работка с зумерами.</t>
  </si>
  <si>
    <t>Прочерк</t>
  </si>
  <si>
    <t>Все темы и вопросы оставить в программе.</t>
  </si>
  <si>
    <t>Расширить занятия до трёх/четырёх дней.</t>
  </si>
  <si>
    <t>Ничего, используемые практические занятия полезны и дают новый опыт.</t>
  </si>
  <si>
    <t>Расширение курса до трёх/четырёх дней</t>
  </si>
  <si>
    <t>Интересная программа, которая совпадает с теми задачи, которые решаются в работе на практике - спасибо!</t>
  </si>
  <si>
    <t>Новые знания, новый опыт</t>
  </si>
  <si>
    <t>Мотивация, типы сотрудников, делегирование</t>
  </si>
  <si>
    <t>Обращение с разными типами сотрудников</t>
  </si>
  <si>
    <t>Все достаточно</t>
  </si>
  <si>
    <t>Всего достаточно</t>
  </si>
  <si>
    <t>Очень все понятно</t>
  </si>
  <si>
    <t>актуальная тема для моей профессиональной деятельности</t>
  </si>
  <si>
    <t>разбор психотипов людей</t>
  </si>
  <si>
    <t>все</t>
  </si>
  <si>
    <t>все актуально</t>
  </si>
  <si>
    <t>курс полный</t>
  </si>
  <si>
    <t>была вовлечена</t>
  </si>
  <si>
    <t>получить навыки управления</t>
  </si>
  <si>
    <t>руководство сотрудниками, конфликтные споры</t>
  </si>
  <si>
    <t>нетнет</t>
  </si>
  <si>
    <t>все хорошо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</si>
</sst>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3" borderId="0" xfId="0" applyNumberFormat="1" applyFill="1" applyAlignment="1">
      <alignment wrapText="1"/>
    </xf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26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150" x14ac:dyDescent="0.25">
      <c r="A2" s="1"/>
      <c r="B2" s="1"/>
      <c r="C2" s="1" t="s">
        <v>33</v>
      </c>
      <c r="D2" s="1" t="s">
        <v>34</v>
      </c>
      <c r="E2" s="9">
        <v>10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9">
        <v>10</v>
      </c>
      <c r="M2" s="1" t="s">
        <v>37</v>
      </c>
      <c r="N2" s="1" t="s">
        <v>38</v>
      </c>
      <c r="O2" s="1" t="s">
        <v>41</v>
      </c>
      <c r="P2" s="9">
        <v>10</v>
      </c>
      <c r="Q2" s="1" t="s">
        <v>37</v>
      </c>
      <c r="R2" s="1" t="s">
        <v>38</v>
      </c>
      <c r="S2" s="1" t="s">
        <v>37</v>
      </c>
      <c r="T2" s="1" t="s">
        <v>38</v>
      </c>
      <c r="U2" s="1" t="s">
        <v>42</v>
      </c>
      <c r="V2" s="1" t="s">
        <v>38</v>
      </c>
      <c r="W2" s="1" t="s">
        <v>43</v>
      </c>
      <c r="X2" s="1" t="s">
        <v>44</v>
      </c>
      <c r="Y2" s="9">
        <v>10</v>
      </c>
      <c r="Z2" s="1" t="s">
        <v>45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45" x14ac:dyDescent="0.25">
      <c r="A3" s="1"/>
      <c r="B3" s="1"/>
      <c r="C3" s="1" t="s">
        <v>33</v>
      </c>
      <c r="D3" s="1" t="s">
        <v>46</v>
      </c>
      <c r="E3" s="9">
        <v>10</v>
      </c>
      <c r="F3" s="1" t="s">
        <v>47</v>
      </c>
      <c r="G3" s="1" t="s">
        <v>48</v>
      </c>
      <c r="H3" s="1" t="s">
        <v>37</v>
      </c>
      <c r="I3" s="1" t="s">
        <v>38</v>
      </c>
      <c r="J3" s="1" t="s">
        <v>49</v>
      </c>
      <c r="K3" s="1" t="s">
        <v>50</v>
      </c>
      <c r="L3" s="9">
        <v>10</v>
      </c>
      <c r="M3" s="1" t="s">
        <v>37</v>
      </c>
      <c r="N3" s="1" t="s">
        <v>38</v>
      </c>
      <c r="O3" s="1" t="s">
        <v>51</v>
      </c>
      <c r="P3" s="9">
        <v>10</v>
      </c>
      <c r="Q3" s="1" t="s">
        <v>37</v>
      </c>
      <c r="R3" s="1" t="s">
        <v>38</v>
      </c>
      <c r="S3" s="1" t="s">
        <v>37</v>
      </c>
      <c r="T3" s="1" t="s">
        <v>38</v>
      </c>
      <c r="U3" s="1" t="s">
        <v>42</v>
      </c>
      <c r="V3" s="1" t="s">
        <v>38</v>
      </c>
      <c r="W3" s="1" t="s">
        <v>52</v>
      </c>
      <c r="X3" s="1" t="s">
        <v>53</v>
      </c>
      <c r="Y3" s="9">
        <v>10</v>
      </c>
      <c r="Z3" s="1" t="s">
        <v>54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60" x14ac:dyDescent="0.25">
      <c r="A4" s="1"/>
      <c r="B4" s="1"/>
      <c r="C4" s="1" t="s">
        <v>33</v>
      </c>
      <c r="D4" s="1" t="s">
        <v>55</v>
      </c>
      <c r="E4" s="9">
        <v>10</v>
      </c>
      <c r="F4" s="1" t="s">
        <v>56</v>
      </c>
      <c r="G4" s="1" t="s">
        <v>57</v>
      </c>
      <c r="H4" s="1" t="s">
        <v>37</v>
      </c>
      <c r="I4" s="1" t="s">
        <v>38</v>
      </c>
      <c r="J4" s="1" t="s">
        <v>58</v>
      </c>
      <c r="K4" s="1" t="s">
        <v>38</v>
      </c>
      <c r="L4" s="9">
        <v>10</v>
      </c>
      <c r="M4" s="1" t="s">
        <v>37</v>
      </c>
      <c r="N4" s="1" t="s">
        <v>38</v>
      </c>
      <c r="O4" s="1" t="s">
        <v>38</v>
      </c>
      <c r="P4" s="9">
        <v>10</v>
      </c>
      <c r="Q4" s="1" t="s">
        <v>37</v>
      </c>
      <c r="R4" s="1" t="s">
        <v>38</v>
      </c>
      <c r="S4" s="1" t="s">
        <v>37</v>
      </c>
      <c r="T4" s="1" t="s">
        <v>38</v>
      </c>
      <c r="U4" s="1" t="s">
        <v>42</v>
      </c>
      <c r="V4" s="1" t="s">
        <v>38</v>
      </c>
      <c r="W4" s="1" t="s">
        <v>59</v>
      </c>
      <c r="X4" s="1" t="s">
        <v>44</v>
      </c>
      <c r="Y4" s="9">
        <v>10</v>
      </c>
      <c r="Z4" s="1" t="s">
        <v>38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150" x14ac:dyDescent="0.25">
      <c r="A5" s="1"/>
      <c r="B5" s="1"/>
      <c r="C5" s="1" t="s">
        <v>33</v>
      </c>
      <c r="D5" s="1" t="s">
        <v>60</v>
      </c>
      <c r="E5" s="9">
        <v>10</v>
      </c>
      <c r="F5" s="1" t="s">
        <v>61</v>
      </c>
      <c r="G5" s="1" t="s">
        <v>61</v>
      </c>
      <c r="H5" s="1" t="s">
        <v>37</v>
      </c>
      <c r="I5" s="1" t="s">
        <v>38</v>
      </c>
      <c r="J5" s="1" t="s">
        <v>62</v>
      </c>
      <c r="K5" s="1" t="s">
        <v>38</v>
      </c>
      <c r="L5" s="11">
        <v>7</v>
      </c>
      <c r="M5" s="1" t="s">
        <v>42</v>
      </c>
      <c r="N5" s="1" t="s">
        <v>63</v>
      </c>
      <c r="O5" s="1" t="s">
        <v>64</v>
      </c>
      <c r="P5" s="9">
        <v>10</v>
      </c>
      <c r="Q5" s="1" t="s">
        <v>37</v>
      </c>
      <c r="R5" s="1" t="s">
        <v>38</v>
      </c>
      <c r="S5" s="1" t="s">
        <v>37</v>
      </c>
      <c r="T5" s="1" t="s">
        <v>38</v>
      </c>
      <c r="U5" s="1" t="s">
        <v>42</v>
      </c>
      <c r="V5" s="1" t="s">
        <v>38</v>
      </c>
      <c r="W5" s="1" t="s">
        <v>65</v>
      </c>
      <c r="X5" s="1" t="s">
        <v>44</v>
      </c>
      <c r="Y5" s="9">
        <v>10</v>
      </c>
      <c r="Z5" s="1" t="s">
        <v>66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60" x14ac:dyDescent="0.25">
      <c r="A6" s="1"/>
      <c r="B6" s="1"/>
      <c r="C6" s="1" t="s">
        <v>33</v>
      </c>
      <c r="D6" s="1" t="s">
        <v>67</v>
      </c>
      <c r="E6" s="9">
        <v>10</v>
      </c>
      <c r="F6" s="1" t="s">
        <v>68</v>
      </c>
      <c r="G6" s="1" t="s">
        <v>69</v>
      </c>
      <c r="H6" s="1" t="s">
        <v>37</v>
      </c>
      <c r="I6" s="1" t="s">
        <v>38</v>
      </c>
      <c r="J6" s="1" t="s">
        <v>49</v>
      </c>
      <c r="K6" s="1" t="s">
        <v>70</v>
      </c>
      <c r="L6" s="9">
        <v>10</v>
      </c>
      <c r="M6" s="1" t="s">
        <v>37</v>
      </c>
      <c r="N6" s="1" t="s">
        <v>38</v>
      </c>
      <c r="O6" s="1" t="s">
        <v>71</v>
      </c>
      <c r="P6" s="9">
        <v>10</v>
      </c>
      <c r="Q6" s="1" t="s">
        <v>37</v>
      </c>
      <c r="R6" s="1" t="s">
        <v>38</v>
      </c>
      <c r="S6" s="1" t="s">
        <v>37</v>
      </c>
      <c r="T6" s="1" t="s">
        <v>38</v>
      </c>
      <c r="U6" s="1" t="s">
        <v>42</v>
      </c>
      <c r="V6" s="1" t="s">
        <v>38</v>
      </c>
      <c r="W6" s="1" t="s">
        <v>72</v>
      </c>
      <c r="X6" s="1" t="s">
        <v>44</v>
      </c>
      <c r="Y6" s="9">
        <v>10</v>
      </c>
      <c r="Z6" s="1" t="s">
        <v>73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s="12" customFormat="1" ht="60" x14ac:dyDescent="0.25">
      <c r="A7" s="10"/>
      <c r="B7" s="10"/>
      <c r="C7" s="10" t="s">
        <v>33</v>
      </c>
      <c r="D7" s="10" t="s">
        <v>74</v>
      </c>
      <c r="E7" s="11">
        <v>5</v>
      </c>
      <c r="F7" s="10" t="s">
        <v>75</v>
      </c>
      <c r="G7" s="10" t="s">
        <v>75</v>
      </c>
      <c r="H7" s="10" t="s">
        <v>37</v>
      </c>
      <c r="I7" s="10" t="s">
        <v>38</v>
      </c>
      <c r="J7" s="10" t="s">
        <v>38</v>
      </c>
      <c r="K7" s="10" t="s">
        <v>38</v>
      </c>
      <c r="L7" s="11">
        <v>7</v>
      </c>
      <c r="M7" s="10" t="s">
        <v>37</v>
      </c>
      <c r="N7" s="10" t="s">
        <v>38</v>
      </c>
      <c r="O7" s="10" t="s">
        <v>38</v>
      </c>
      <c r="P7" s="11">
        <v>10</v>
      </c>
      <c r="Q7" s="10" t="s">
        <v>37</v>
      </c>
      <c r="R7" s="10" t="s">
        <v>38</v>
      </c>
      <c r="S7" s="10" t="s">
        <v>37</v>
      </c>
      <c r="T7" s="10" t="s">
        <v>38</v>
      </c>
      <c r="U7" s="10" t="s">
        <v>42</v>
      </c>
      <c r="V7" s="10" t="s">
        <v>38</v>
      </c>
      <c r="W7" s="10" t="s">
        <v>76</v>
      </c>
      <c r="X7" s="10" t="s">
        <v>44</v>
      </c>
      <c r="Y7" s="11">
        <v>10</v>
      </c>
      <c r="Z7" s="10" t="s">
        <v>77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</row>
    <row r="8" spans="1:106" ht="45" x14ac:dyDescent="0.25">
      <c r="A8" s="1"/>
      <c r="B8" s="1"/>
      <c r="C8" s="1" t="s">
        <v>33</v>
      </c>
      <c r="D8" s="1" t="s">
        <v>78</v>
      </c>
      <c r="E8" s="9">
        <v>10</v>
      </c>
      <c r="F8" s="1" t="s">
        <v>79</v>
      </c>
      <c r="G8" s="1" t="s">
        <v>80</v>
      </c>
      <c r="H8" s="1" t="s">
        <v>37</v>
      </c>
      <c r="I8" s="1" t="s">
        <v>38</v>
      </c>
      <c r="J8" s="1" t="s">
        <v>81</v>
      </c>
      <c r="K8" s="1" t="s">
        <v>82</v>
      </c>
      <c r="L8" s="9">
        <v>10</v>
      </c>
      <c r="M8" s="1" t="s">
        <v>37</v>
      </c>
      <c r="N8" s="1" t="s">
        <v>38</v>
      </c>
      <c r="O8" s="1" t="s">
        <v>83</v>
      </c>
      <c r="P8" s="9">
        <v>10</v>
      </c>
      <c r="Q8" s="1" t="s">
        <v>37</v>
      </c>
      <c r="R8" s="1" t="s">
        <v>38</v>
      </c>
      <c r="S8" s="1" t="s">
        <v>37</v>
      </c>
      <c r="T8" s="1" t="s">
        <v>38</v>
      </c>
      <c r="U8" s="1" t="s">
        <v>42</v>
      </c>
      <c r="V8" s="1" t="s">
        <v>38</v>
      </c>
      <c r="W8" s="1" t="s">
        <v>84</v>
      </c>
      <c r="X8" s="1" t="s">
        <v>85</v>
      </c>
      <c r="Y8" s="9">
        <v>10</v>
      </c>
      <c r="Z8" s="1" t="s">
        <v>86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60" x14ac:dyDescent="0.25">
      <c r="A9" s="1"/>
      <c r="B9" s="1"/>
      <c r="C9" s="1" t="s">
        <v>33</v>
      </c>
      <c r="D9" s="1" t="s">
        <v>87</v>
      </c>
      <c r="E9" s="9">
        <v>8</v>
      </c>
      <c r="F9" s="1" t="s">
        <v>88</v>
      </c>
      <c r="G9" s="1" t="s">
        <v>89</v>
      </c>
      <c r="H9" s="1" t="s">
        <v>37</v>
      </c>
      <c r="I9" s="1" t="s">
        <v>38</v>
      </c>
      <c r="J9" s="1" t="s">
        <v>38</v>
      </c>
      <c r="K9" s="1" t="s">
        <v>90</v>
      </c>
      <c r="L9" s="9">
        <v>8</v>
      </c>
      <c r="M9" s="1" t="s">
        <v>37</v>
      </c>
      <c r="N9" s="1" t="s">
        <v>38</v>
      </c>
      <c r="O9" s="1" t="s">
        <v>91</v>
      </c>
      <c r="P9" s="9">
        <v>10</v>
      </c>
      <c r="Q9" s="1" t="s">
        <v>37</v>
      </c>
      <c r="R9" s="1" t="s">
        <v>38</v>
      </c>
      <c r="S9" s="1" t="s">
        <v>37</v>
      </c>
      <c r="T9" s="1" t="s">
        <v>38</v>
      </c>
      <c r="U9" s="1" t="s">
        <v>42</v>
      </c>
      <c r="V9" s="1" t="s">
        <v>38</v>
      </c>
      <c r="W9" s="1" t="s">
        <v>92</v>
      </c>
      <c r="X9" s="1" t="s">
        <v>44</v>
      </c>
      <c r="Y9" s="9">
        <v>10</v>
      </c>
      <c r="Z9" s="1" t="s">
        <v>93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60" x14ac:dyDescent="0.25">
      <c r="A10" s="1"/>
      <c r="B10" s="1"/>
      <c r="C10" s="1" t="s">
        <v>33</v>
      </c>
      <c r="D10" s="1" t="s">
        <v>94</v>
      </c>
      <c r="E10" s="9">
        <v>10</v>
      </c>
      <c r="F10" s="1" t="s">
        <v>95</v>
      </c>
      <c r="G10" s="1" t="s">
        <v>96</v>
      </c>
      <c r="H10" s="1" t="s">
        <v>37</v>
      </c>
      <c r="I10" s="1" t="s">
        <v>38</v>
      </c>
      <c r="J10" s="1" t="s">
        <v>42</v>
      </c>
      <c r="K10" s="1" t="s">
        <v>97</v>
      </c>
      <c r="L10" s="9">
        <v>10</v>
      </c>
      <c r="M10" s="1" t="s">
        <v>37</v>
      </c>
      <c r="N10" s="1" t="s">
        <v>98</v>
      </c>
      <c r="O10" s="1" t="s">
        <v>71</v>
      </c>
      <c r="P10" s="9">
        <v>10</v>
      </c>
      <c r="Q10" s="1" t="s">
        <v>37</v>
      </c>
      <c r="R10" s="1" t="s">
        <v>37</v>
      </c>
      <c r="S10" s="1" t="s">
        <v>37</v>
      </c>
      <c r="T10" s="1" t="s">
        <v>38</v>
      </c>
      <c r="U10" s="1" t="s">
        <v>37</v>
      </c>
      <c r="V10" s="1" t="s">
        <v>38</v>
      </c>
      <c r="W10" s="1" t="s">
        <v>99</v>
      </c>
      <c r="X10" s="1" t="s">
        <v>44</v>
      </c>
      <c r="Y10" s="9">
        <v>10</v>
      </c>
      <c r="Z10" s="1" t="s">
        <v>100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s="12" customFormat="1" ht="90" x14ac:dyDescent="0.25">
      <c r="A11" s="10"/>
      <c r="B11" s="10"/>
      <c r="C11" s="10" t="s">
        <v>33</v>
      </c>
      <c r="D11" s="10" t="s">
        <v>101</v>
      </c>
      <c r="E11" s="11">
        <v>6</v>
      </c>
      <c r="F11" s="10" t="s">
        <v>102</v>
      </c>
      <c r="G11" s="10" t="s">
        <v>103</v>
      </c>
      <c r="H11" s="10" t="s">
        <v>42</v>
      </c>
      <c r="I11" s="10" t="s">
        <v>104</v>
      </c>
      <c r="J11" s="10" t="s">
        <v>105</v>
      </c>
      <c r="K11" s="10" t="s">
        <v>38</v>
      </c>
      <c r="L11" s="11">
        <v>8</v>
      </c>
      <c r="M11" s="10" t="s">
        <v>37</v>
      </c>
      <c r="N11" s="10" t="s">
        <v>38</v>
      </c>
      <c r="O11" s="10" t="s">
        <v>71</v>
      </c>
      <c r="P11" s="11">
        <v>9</v>
      </c>
      <c r="Q11" s="10" t="s">
        <v>37</v>
      </c>
      <c r="R11" s="10" t="s">
        <v>38</v>
      </c>
      <c r="S11" s="10" t="s">
        <v>37</v>
      </c>
      <c r="T11" s="10" t="s">
        <v>38</v>
      </c>
      <c r="U11" s="10" t="s">
        <v>42</v>
      </c>
      <c r="V11" s="10" t="s">
        <v>38</v>
      </c>
      <c r="W11" s="10" t="s">
        <v>38</v>
      </c>
      <c r="X11" s="10" t="s">
        <v>44</v>
      </c>
      <c r="Y11" s="11">
        <v>10</v>
      </c>
      <c r="Z11" s="10" t="s">
        <v>106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</row>
    <row r="12" spans="1:106" ht="90" x14ac:dyDescent="0.25">
      <c r="A12" s="1"/>
      <c r="B12" s="1"/>
      <c r="C12" s="1" t="s">
        <v>33</v>
      </c>
      <c r="D12" s="1" t="s">
        <v>107</v>
      </c>
      <c r="E12" s="9">
        <v>10</v>
      </c>
      <c r="F12" s="1" t="s">
        <v>108</v>
      </c>
      <c r="G12" s="1" t="s">
        <v>109</v>
      </c>
      <c r="H12" s="1" t="s">
        <v>37</v>
      </c>
      <c r="I12" s="1" t="s">
        <v>38</v>
      </c>
      <c r="J12" s="1" t="s">
        <v>110</v>
      </c>
      <c r="K12" s="1" t="s">
        <v>111</v>
      </c>
      <c r="L12" s="9">
        <v>9</v>
      </c>
      <c r="M12" s="1" t="s">
        <v>42</v>
      </c>
      <c r="N12" s="1" t="s">
        <v>112</v>
      </c>
      <c r="O12" s="1" t="s">
        <v>38</v>
      </c>
      <c r="P12" s="9">
        <v>10</v>
      </c>
      <c r="Q12" s="1" t="s">
        <v>37</v>
      </c>
      <c r="R12" s="1" t="s">
        <v>38</v>
      </c>
      <c r="S12" s="1" t="s">
        <v>37</v>
      </c>
      <c r="T12" s="1" t="s">
        <v>38</v>
      </c>
      <c r="U12" s="1" t="s">
        <v>42</v>
      </c>
      <c r="V12" s="1" t="s">
        <v>38</v>
      </c>
      <c r="W12" s="1" t="s">
        <v>38</v>
      </c>
      <c r="X12" s="1" t="s">
        <v>44</v>
      </c>
      <c r="Y12" s="9">
        <v>10</v>
      </c>
      <c r="Z12" s="1" t="s">
        <v>113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s="12" customFormat="1" ht="60" x14ac:dyDescent="0.25">
      <c r="A13" s="10"/>
      <c r="B13" s="10"/>
      <c r="C13" s="10" t="s">
        <v>33</v>
      </c>
      <c r="D13" s="10" t="s">
        <v>114</v>
      </c>
      <c r="E13" s="11">
        <v>6</v>
      </c>
      <c r="F13" s="10" t="s">
        <v>115</v>
      </c>
      <c r="G13" s="10" t="s">
        <v>116</v>
      </c>
      <c r="H13" s="10" t="s">
        <v>37</v>
      </c>
      <c r="I13" s="10" t="s">
        <v>38</v>
      </c>
      <c r="J13" s="10" t="s">
        <v>117</v>
      </c>
      <c r="K13" s="10" t="s">
        <v>118</v>
      </c>
      <c r="L13" s="11">
        <v>6</v>
      </c>
      <c r="M13" s="10" t="s">
        <v>37</v>
      </c>
      <c r="N13" s="10" t="s">
        <v>119</v>
      </c>
      <c r="O13" s="10" t="s">
        <v>120</v>
      </c>
      <c r="P13" s="11">
        <v>8</v>
      </c>
      <c r="Q13" s="10" t="s">
        <v>37</v>
      </c>
      <c r="R13" s="10" t="s">
        <v>38</v>
      </c>
      <c r="S13" s="10" t="s">
        <v>37</v>
      </c>
      <c r="T13" s="10" t="s">
        <v>38</v>
      </c>
      <c r="U13" s="10" t="s">
        <v>37</v>
      </c>
      <c r="V13" s="10" t="s">
        <v>121</v>
      </c>
      <c r="W13" s="10" t="s">
        <v>122</v>
      </c>
      <c r="X13" s="10" t="s">
        <v>85</v>
      </c>
      <c r="Y13" s="11">
        <v>10</v>
      </c>
      <c r="Z13" s="10" t="s">
        <v>123</v>
      </c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</row>
    <row r="14" spans="1:106" ht="75" x14ac:dyDescent="0.25">
      <c r="A14" s="1"/>
      <c r="B14" s="1"/>
      <c r="C14" s="1" t="s">
        <v>33</v>
      </c>
      <c r="D14" s="1" t="s">
        <v>124</v>
      </c>
      <c r="E14" s="9">
        <v>10</v>
      </c>
      <c r="F14" s="1" t="s">
        <v>125</v>
      </c>
      <c r="G14" s="1" t="s">
        <v>126</v>
      </c>
      <c r="H14" s="1" t="s">
        <v>37</v>
      </c>
      <c r="I14" s="1" t="s">
        <v>38</v>
      </c>
      <c r="J14" s="1" t="s">
        <v>38</v>
      </c>
      <c r="K14" s="1" t="s">
        <v>127</v>
      </c>
      <c r="L14" s="9">
        <v>9</v>
      </c>
      <c r="M14" s="1" t="s">
        <v>37</v>
      </c>
      <c r="N14" s="1" t="s">
        <v>38</v>
      </c>
      <c r="O14" s="1" t="s">
        <v>38</v>
      </c>
      <c r="P14" s="9">
        <v>10</v>
      </c>
      <c r="Q14" s="1" t="s">
        <v>37</v>
      </c>
      <c r="R14" s="1" t="s">
        <v>38</v>
      </c>
      <c r="S14" s="1" t="s">
        <v>37</v>
      </c>
      <c r="T14" s="1" t="s">
        <v>38</v>
      </c>
      <c r="U14" s="1" t="s">
        <v>42</v>
      </c>
      <c r="V14" s="1" t="s">
        <v>38</v>
      </c>
      <c r="W14" s="1" t="s">
        <v>128</v>
      </c>
      <c r="X14" s="1" t="s">
        <v>44</v>
      </c>
      <c r="Y14" s="9">
        <v>10</v>
      </c>
      <c r="Z14" s="1" t="s">
        <v>38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60" x14ac:dyDescent="0.25">
      <c r="A15" s="1"/>
      <c r="B15" s="1"/>
      <c r="C15" s="1" t="s">
        <v>33</v>
      </c>
      <c r="D15" s="1" t="s">
        <v>129</v>
      </c>
      <c r="E15" s="9">
        <v>10</v>
      </c>
      <c r="F15" s="1" t="s">
        <v>130</v>
      </c>
      <c r="G15" s="1" t="s">
        <v>131</v>
      </c>
      <c r="H15" s="1" t="s">
        <v>37</v>
      </c>
      <c r="I15" s="1" t="s">
        <v>38</v>
      </c>
      <c r="J15" s="1" t="s">
        <v>132</v>
      </c>
      <c r="K15" s="1" t="s">
        <v>133</v>
      </c>
      <c r="L15" s="9">
        <v>10</v>
      </c>
      <c r="M15" s="1" t="s">
        <v>37</v>
      </c>
      <c r="N15" s="1" t="s">
        <v>38</v>
      </c>
      <c r="O15" s="1" t="s">
        <v>134</v>
      </c>
      <c r="P15" s="9">
        <v>10</v>
      </c>
      <c r="Q15" s="1" t="s">
        <v>37</v>
      </c>
      <c r="R15" s="1" t="s">
        <v>38</v>
      </c>
      <c r="S15" s="1" t="s">
        <v>37</v>
      </c>
      <c r="T15" s="1" t="s">
        <v>38</v>
      </c>
      <c r="U15" s="1" t="s">
        <v>42</v>
      </c>
      <c r="V15" s="1" t="s">
        <v>38</v>
      </c>
      <c r="W15" s="1" t="s">
        <v>135</v>
      </c>
      <c r="X15" s="1" t="s">
        <v>44</v>
      </c>
      <c r="Y15" s="9">
        <v>10</v>
      </c>
      <c r="Z15" s="1" t="s">
        <v>136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60" x14ac:dyDescent="0.25">
      <c r="A16" s="1"/>
      <c r="B16" s="1"/>
      <c r="C16" s="1" t="s">
        <v>33</v>
      </c>
      <c r="D16" s="1" t="s">
        <v>137</v>
      </c>
      <c r="E16" s="9">
        <v>10</v>
      </c>
      <c r="F16" s="1" t="s">
        <v>138</v>
      </c>
      <c r="G16" s="1" t="s">
        <v>139</v>
      </c>
      <c r="H16" s="1" t="s">
        <v>37</v>
      </c>
      <c r="I16" s="1" t="s">
        <v>38</v>
      </c>
      <c r="J16" s="1" t="s">
        <v>140</v>
      </c>
      <c r="K16" s="1" t="s">
        <v>38</v>
      </c>
      <c r="L16" s="9">
        <v>10</v>
      </c>
      <c r="M16" s="1" t="s">
        <v>37</v>
      </c>
      <c r="N16" s="1" t="s">
        <v>38</v>
      </c>
      <c r="O16" s="1" t="s">
        <v>38</v>
      </c>
      <c r="P16" s="9">
        <v>10</v>
      </c>
      <c r="Q16" s="1" t="s">
        <v>37</v>
      </c>
      <c r="R16" s="1" t="s">
        <v>38</v>
      </c>
      <c r="S16" s="1" t="s">
        <v>37</v>
      </c>
      <c r="T16" s="1" t="s">
        <v>38</v>
      </c>
      <c r="U16" s="1" t="s">
        <v>42</v>
      </c>
      <c r="V16" s="1" t="s">
        <v>38</v>
      </c>
      <c r="W16" s="1" t="s">
        <v>141</v>
      </c>
      <c r="X16" s="1" t="s">
        <v>44</v>
      </c>
      <c r="Y16" s="9">
        <v>10</v>
      </c>
      <c r="Z16" s="1" t="s">
        <v>142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60" x14ac:dyDescent="0.25">
      <c r="A17" s="1"/>
      <c r="B17" s="1"/>
      <c r="C17" s="1" t="s">
        <v>33</v>
      </c>
      <c r="D17" s="1" t="s">
        <v>143</v>
      </c>
      <c r="E17" s="9">
        <v>10</v>
      </c>
      <c r="F17" s="1" t="s">
        <v>144</v>
      </c>
      <c r="G17" s="1" t="s">
        <v>145</v>
      </c>
      <c r="H17" s="1" t="s">
        <v>37</v>
      </c>
      <c r="I17" s="1" t="s">
        <v>146</v>
      </c>
      <c r="J17" s="1" t="s">
        <v>147</v>
      </c>
      <c r="K17" s="1" t="s">
        <v>148</v>
      </c>
      <c r="L17" s="9">
        <v>10</v>
      </c>
      <c r="M17" s="1" t="s">
        <v>37</v>
      </c>
      <c r="N17" s="1" t="s">
        <v>146</v>
      </c>
      <c r="O17" s="1" t="s">
        <v>146</v>
      </c>
      <c r="P17" s="9">
        <v>10</v>
      </c>
      <c r="Q17" s="1" t="s">
        <v>37</v>
      </c>
      <c r="R17" s="1" t="s">
        <v>146</v>
      </c>
      <c r="S17" s="1" t="s">
        <v>37</v>
      </c>
      <c r="T17" s="1" t="s">
        <v>146</v>
      </c>
      <c r="U17" s="1" t="s">
        <v>42</v>
      </c>
      <c r="V17" s="1" t="s">
        <v>146</v>
      </c>
      <c r="W17" s="1" t="s">
        <v>149</v>
      </c>
      <c r="X17" s="1" t="s">
        <v>44</v>
      </c>
      <c r="Y17" s="9">
        <v>10</v>
      </c>
      <c r="Z17" s="1" t="s">
        <v>146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s="12" customFormat="1" ht="165" x14ac:dyDescent="0.25">
      <c r="A18" s="10"/>
      <c r="B18" s="10"/>
      <c r="C18" s="10" t="s">
        <v>33</v>
      </c>
      <c r="D18" s="10" t="s">
        <v>150</v>
      </c>
      <c r="E18" s="11">
        <v>6</v>
      </c>
      <c r="F18" s="10" t="s">
        <v>151</v>
      </c>
      <c r="G18" s="10" t="s">
        <v>152</v>
      </c>
      <c r="H18" s="10" t="s">
        <v>37</v>
      </c>
      <c r="I18" s="10" t="s">
        <v>38</v>
      </c>
      <c r="J18" s="10" t="s">
        <v>153</v>
      </c>
      <c r="K18" s="10" t="s">
        <v>154</v>
      </c>
      <c r="L18" s="11">
        <v>8</v>
      </c>
      <c r="M18" s="10" t="s">
        <v>37</v>
      </c>
      <c r="N18" s="10" t="s">
        <v>38</v>
      </c>
      <c r="O18" s="10" t="s">
        <v>155</v>
      </c>
      <c r="P18" s="11">
        <v>10</v>
      </c>
      <c r="Q18" s="10" t="s">
        <v>37</v>
      </c>
      <c r="R18" s="10" t="s">
        <v>38</v>
      </c>
      <c r="S18" s="10" t="s">
        <v>37</v>
      </c>
      <c r="T18" s="10" t="s">
        <v>38</v>
      </c>
      <c r="U18" s="10" t="s">
        <v>37</v>
      </c>
      <c r="V18" s="10" t="s">
        <v>156</v>
      </c>
      <c r="W18" s="10" t="s">
        <v>157</v>
      </c>
      <c r="X18" s="10" t="s">
        <v>85</v>
      </c>
      <c r="Y18" s="11">
        <v>10</v>
      </c>
      <c r="Z18" s="10" t="s">
        <v>158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</row>
    <row r="19" spans="1:106" s="12" customFormat="1" ht="60" x14ac:dyDescent="0.25">
      <c r="A19" s="10"/>
      <c r="B19" s="10"/>
      <c r="C19" s="10" t="s">
        <v>33</v>
      </c>
      <c r="D19" s="10" t="s">
        <v>159</v>
      </c>
      <c r="E19" s="11">
        <v>3</v>
      </c>
      <c r="F19" s="10" t="s">
        <v>160</v>
      </c>
      <c r="G19" s="10" t="s">
        <v>160</v>
      </c>
      <c r="H19" s="10" t="s">
        <v>42</v>
      </c>
      <c r="I19" s="10" t="s">
        <v>161</v>
      </c>
      <c r="J19" s="10" t="s">
        <v>162</v>
      </c>
      <c r="K19" s="10" t="s">
        <v>163</v>
      </c>
      <c r="L19" s="11">
        <v>2</v>
      </c>
      <c r="M19" s="10" t="s">
        <v>37</v>
      </c>
      <c r="N19" s="10" t="s">
        <v>38</v>
      </c>
      <c r="O19" s="11">
        <v>9</v>
      </c>
      <c r="P19" s="11">
        <v>8</v>
      </c>
      <c r="Q19" s="10" t="s">
        <v>42</v>
      </c>
      <c r="R19" s="10" t="s">
        <v>164</v>
      </c>
      <c r="S19" s="10" t="s">
        <v>37</v>
      </c>
      <c r="T19" s="10" t="s">
        <v>38</v>
      </c>
      <c r="U19" s="10" t="s">
        <v>37</v>
      </c>
      <c r="V19" s="10" t="s">
        <v>165</v>
      </c>
      <c r="W19" s="10" t="s">
        <v>166</v>
      </c>
      <c r="X19" s="10" t="s">
        <v>44</v>
      </c>
      <c r="Y19" s="11">
        <v>10</v>
      </c>
      <c r="Z19" s="10" t="s">
        <v>167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</row>
    <row r="20" spans="1:106" ht="60" x14ac:dyDescent="0.25">
      <c r="A20" s="1"/>
      <c r="B20" s="1"/>
      <c r="C20" s="1" t="s">
        <v>33</v>
      </c>
      <c r="D20" s="1" t="s">
        <v>168</v>
      </c>
      <c r="E20" s="9">
        <v>8</v>
      </c>
      <c r="F20" s="1" t="s">
        <v>169</v>
      </c>
      <c r="G20" s="1" t="s">
        <v>170</v>
      </c>
      <c r="H20" s="1" t="s">
        <v>37</v>
      </c>
      <c r="I20" s="1" t="s">
        <v>38</v>
      </c>
      <c r="J20" s="1" t="s">
        <v>38</v>
      </c>
      <c r="K20" s="1" t="s">
        <v>171</v>
      </c>
      <c r="L20" s="9">
        <v>10</v>
      </c>
      <c r="M20" s="1" t="s">
        <v>37</v>
      </c>
      <c r="N20" s="1" t="s">
        <v>38</v>
      </c>
      <c r="O20" s="1" t="s">
        <v>38</v>
      </c>
      <c r="P20" s="9">
        <v>10</v>
      </c>
      <c r="Q20" s="1" t="s">
        <v>37</v>
      </c>
      <c r="R20" s="1" t="s">
        <v>38</v>
      </c>
      <c r="S20" s="1" t="s">
        <v>37</v>
      </c>
      <c r="T20" s="1" t="s">
        <v>38</v>
      </c>
      <c r="U20" s="1" t="s">
        <v>42</v>
      </c>
      <c r="V20" s="1" t="s">
        <v>38</v>
      </c>
      <c r="W20" s="1" t="s">
        <v>38</v>
      </c>
      <c r="X20" s="1" t="s">
        <v>44</v>
      </c>
      <c r="Y20" s="9">
        <v>10</v>
      </c>
      <c r="Z20" s="1" t="s">
        <v>172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60" x14ac:dyDescent="0.25">
      <c r="A21" s="1"/>
      <c r="B21" s="1"/>
      <c r="C21" s="1" t="s">
        <v>33</v>
      </c>
      <c r="D21" s="1" t="s">
        <v>173</v>
      </c>
      <c r="E21" s="9">
        <v>10</v>
      </c>
      <c r="F21" s="1" t="s">
        <v>174</v>
      </c>
      <c r="G21" s="1" t="s">
        <v>175</v>
      </c>
      <c r="H21" s="1" t="s">
        <v>37</v>
      </c>
      <c r="I21" s="1" t="s">
        <v>38</v>
      </c>
      <c r="J21" s="1" t="s">
        <v>38</v>
      </c>
      <c r="K21" s="1" t="s">
        <v>38</v>
      </c>
      <c r="L21" s="9">
        <v>10</v>
      </c>
      <c r="M21" s="1" t="s">
        <v>37</v>
      </c>
      <c r="N21" s="1" t="s">
        <v>38</v>
      </c>
      <c r="O21" s="1" t="s">
        <v>38</v>
      </c>
      <c r="P21" s="9">
        <v>10</v>
      </c>
      <c r="Q21" s="1" t="s">
        <v>37</v>
      </c>
      <c r="R21" s="1" t="s">
        <v>38</v>
      </c>
      <c r="S21" s="1" t="s">
        <v>37</v>
      </c>
      <c r="T21" s="1" t="s">
        <v>38</v>
      </c>
      <c r="U21" s="1" t="s">
        <v>42</v>
      </c>
      <c r="V21" s="1" t="s">
        <v>38</v>
      </c>
      <c r="W21" s="1" t="s">
        <v>38</v>
      </c>
      <c r="X21" s="1" t="s">
        <v>44</v>
      </c>
      <c r="Y21" s="9">
        <v>10</v>
      </c>
      <c r="Z21" s="1" t="s">
        <v>38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60" x14ac:dyDescent="0.25">
      <c r="A22" s="1"/>
      <c r="B22" s="1"/>
      <c r="C22" s="1" t="s">
        <v>33</v>
      </c>
      <c r="D22" s="1" t="s">
        <v>176</v>
      </c>
      <c r="E22" s="9">
        <v>10</v>
      </c>
      <c r="F22" s="1" t="s">
        <v>177</v>
      </c>
      <c r="G22" s="1" t="s">
        <v>36</v>
      </c>
      <c r="H22" s="1" t="s">
        <v>37</v>
      </c>
      <c r="I22" s="1" t="s">
        <v>38</v>
      </c>
      <c r="J22" s="1" t="s">
        <v>178</v>
      </c>
      <c r="K22" s="1" t="s">
        <v>179</v>
      </c>
      <c r="L22" s="9">
        <v>8</v>
      </c>
      <c r="M22" s="1" t="s">
        <v>37</v>
      </c>
      <c r="N22" s="1" t="s">
        <v>38</v>
      </c>
      <c r="O22" s="1" t="s">
        <v>54</v>
      </c>
      <c r="P22" s="9">
        <v>10</v>
      </c>
      <c r="Q22" s="1" t="s">
        <v>37</v>
      </c>
      <c r="R22" s="1" t="s">
        <v>38</v>
      </c>
      <c r="S22" s="1" t="s">
        <v>37</v>
      </c>
      <c r="T22" s="1" t="s">
        <v>38</v>
      </c>
      <c r="U22" s="1" t="s">
        <v>42</v>
      </c>
      <c r="V22" s="1" t="s">
        <v>38</v>
      </c>
      <c r="W22" s="1" t="s">
        <v>180</v>
      </c>
      <c r="X22" s="1" t="s">
        <v>44</v>
      </c>
      <c r="Y22" s="9">
        <v>10</v>
      </c>
      <c r="Z22" s="1" t="s">
        <v>181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75" x14ac:dyDescent="0.25">
      <c r="A23" s="1"/>
      <c r="B23" s="1"/>
      <c r="C23" s="1" t="s">
        <v>33</v>
      </c>
      <c r="D23" s="1" t="s">
        <v>182</v>
      </c>
      <c r="E23" s="9">
        <v>10</v>
      </c>
      <c r="F23" s="1" t="s">
        <v>183</v>
      </c>
      <c r="G23" s="1" t="s">
        <v>184</v>
      </c>
      <c r="H23" s="1" t="s">
        <v>37</v>
      </c>
      <c r="I23" s="1" t="s">
        <v>185</v>
      </c>
      <c r="J23" s="1" t="s">
        <v>186</v>
      </c>
      <c r="K23" s="1" t="s">
        <v>187</v>
      </c>
      <c r="L23" s="11">
        <v>7</v>
      </c>
      <c r="M23" s="1" t="s">
        <v>37</v>
      </c>
      <c r="N23" s="1" t="s">
        <v>185</v>
      </c>
      <c r="O23" s="1" t="s">
        <v>188</v>
      </c>
      <c r="P23" s="9">
        <v>10</v>
      </c>
      <c r="Q23" s="1" t="s">
        <v>37</v>
      </c>
      <c r="R23" s="1" t="s">
        <v>185</v>
      </c>
      <c r="S23" s="1" t="s">
        <v>37</v>
      </c>
      <c r="T23" s="1" t="s">
        <v>185</v>
      </c>
      <c r="U23" s="1" t="s">
        <v>42</v>
      </c>
      <c r="V23" s="1" t="s">
        <v>185</v>
      </c>
      <c r="W23" s="1" t="s">
        <v>189</v>
      </c>
      <c r="X23" s="1" t="s">
        <v>44</v>
      </c>
      <c r="Y23" s="9">
        <v>10</v>
      </c>
      <c r="Z23" s="1" t="s">
        <v>190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45" x14ac:dyDescent="0.25">
      <c r="A24" s="1"/>
      <c r="B24" s="1"/>
      <c r="C24" s="1" t="s">
        <v>33</v>
      </c>
      <c r="D24" s="1" t="s">
        <v>191</v>
      </c>
      <c r="E24" s="9">
        <v>10</v>
      </c>
      <c r="F24" s="1" t="s">
        <v>192</v>
      </c>
      <c r="G24" s="1" t="s">
        <v>193</v>
      </c>
      <c r="H24" s="1" t="s">
        <v>37</v>
      </c>
      <c r="I24" s="1" t="s">
        <v>38</v>
      </c>
      <c r="J24" s="1" t="s">
        <v>54</v>
      </c>
      <c r="K24" s="1" t="s">
        <v>54</v>
      </c>
      <c r="L24" s="9">
        <v>10</v>
      </c>
      <c r="M24" s="1" t="s">
        <v>37</v>
      </c>
      <c r="N24" s="1" t="s">
        <v>38</v>
      </c>
      <c r="O24" s="1" t="s">
        <v>194</v>
      </c>
      <c r="P24" s="9">
        <v>10</v>
      </c>
      <c r="Q24" s="1" t="s">
        <v>37</v>
      </c>
      <c r="R24" s="1" t="s">
        <v>38</v>
      </c>
      <c r="S24" s="1" t="s">
        <v>37</v>
      </c>
      <c r="T24" s="1" t="s">
        <v>38</v>
      </c>
      <c r="U24" s="1" t="s">
        <v>42</v>
      </c>
      <c r="V24" s="1" t="s">
        <v>38</v>
      </c>
      <c r="W24" s="1" t="s">
        <v>195</v>
      </c>
      <c r="X24" s="1" t="s">
        <v>85</v>
      </c>
      <c r="Y24" s="9">
        <v>10</v>
      </c>
      <c r="Z24" s="1" t="s">
        <v>196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60" x14ac:dyDescent="0.25">
      <c r="A25" s="1"/>
      <c r="B25" s="1"/>
      <c r="C25" s="1" t="s">
        <v>33</v>
      </c>
      <c r="D25" s="1" t="s">
        <v>197</v>
      </c>
      <c r="E25" s="9">
        <v>10</v>
      </c>
      <c r="F25" s="1" t="s">
        <v>198</v>
      </c>
      <c r="G25" s="1" t="s">
        <v>199</v>
      </c>
      <c r="H25" s="1" t="s">
        <v>37</v>
      </c>
      <c r="I25" s="1" t="s">
        <v>38</v>
      </c>
      <c r="J25" s="1" t="s">
        <v>200</v>
      </c>
      <c r="K25" s="1" t="s">
        <v>201</v>
      </c>
      <c r="L25" s="9">
        <v>10</v>
      </c>
      <c r="M25" s="1" t="s">
        <v>37</v>
      </c>
      <c r="N25" s="1" t="s">
        <v>38</v>
      </c>
      <c r="O25" s="1" t="s">
        <v>71</v>
      </c>
      <c r="P25" s="9">
        <v>10</v>
      </c>
      <c r="Q25" s="1" t="s">
        <v>37</v>
      </c>
      <c r="R25" s="1" t="s">
        <v>38</v>
      </c>
      <c r="S25" s="1" t="s">
        <v>37</v>
      </c>
      <c r="T25" s="1" t="s">
        <v>38</v>
      </c>
      <c r="U25" s="1" t="s">
        <v>42</v>
      </c>
      <c r="V25" s="1" t="s">
        <v>38</v>
      </c>
      <c r="W25" s="1" t="s">
        <v>202</v>
      </c>
      <c r="X25" s="1" t="s">
        <v>44</v>
      </c>
      <c r="Y25" s="9">
        <v>10</v>
      </c>
      <c r="Z25" s="1" t="s">
        <v>38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60" x14ac:dyDescent="0.25">
      <c r="A26" s="1"/>
      <c r="B26" s="1"/>
      <c r="C26" s="1" t="s">
        <v>33</v>
      </c>
      <c r="D26" s="1" t="s">
        <v>203</v>
      </c>
      <c r="E26" s="9">
        <v>10</v>
      </c>
      <c r="F26" s="1" t="s">
        <v>204</v>
      </c>
      <c r="G26" s="1" t="s">
        <v>199</v>
      </c>
      <c r="H26" s="1" t="s">
        <v>37</v>
      </c>
      <c r="I26" s="1" t="s">
        <v>38</v>
      </c>
      <c r="J26" s="1" t="s">
        <v>205</v>
      </c>
      <c r="K26" s="1" t="s">
        <v>42</v>
      </c>
      <c r="L26" s="9">
        <v>10</v>
      </c>
      <c r="M26" s="1" t="s">
        <v>37</v>
      </c>
      <c r="N26" s="1" t="s">
        <v>38</v>
      </c>
      <c r="O26" s="1" t="s">
        <v>42</v>
      </c>
      <c r="P26" s="9">
        <v>10</v>
      </c>
      <c r="Q26" s="1" t="s">
        <v>37</v>
      </c>
      <c r="R26" s="1" t="s">
        <v>38</v>
      </c>
      <c r="S26" s="1" t="s">
        <v>37</v>
      </c>
      <c r="T26" s="1" t="s">
        <v>38</v>
      </c>
      <c r="U26" s="1" t="s">
        <v>42</v>
      </c>
      <c r="V26" s="1" t="s">
        <v>38</v>
      </c>
      <c r="W26" s="1" t="s">
        <v>206</v>
      </c>
      <c r="X26" s="1" t="s">
        <v>44</v>
      </c>
      <c r="Y26" s="9">
        <v>10</v>
      </c>
      <c r="Z26" s="1" t="s">
        <v>206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F27" s="1"/>
      <c r="G27" s="1"/>
      <c r="H27" s="1"/>
      <c r="I27" s="1"/>
      <c r="J27" s="1"/>
      <c r="K27" s="1"/>
      <c r="N27" s="1"/>
      <c r="O27" s="1"/>
      <c r="R27" s="1"/>
      <c r="T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F28" s="1"/>
      <c r="G28" s="1"/>
      <c r="H28" s="1"/>
      <c r="I28" s="1"/>
      <c r="J28" s="1"/>
      <c r="K28" s="1"/>
      <c r="N28" s="1"/>
      <c r="O28" s="1"/>
      <c r="R28" s="1"/>
      <c r="T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B4" sqref="B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3" t="s">
        <v>6</v>
      </c>
      <c r="C2" s="13"/>
      <c r="D2" s="13"/>
      <c r="E2" s="13"/>
      <c r="F2" s="13"/>
      <c r="G2" s="13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8.8800000000000008</v>
      </c>
      <c r="C4" s="8">
        <f>AVERAGE('Исходные данные (итог. анкета)'!L:L)</f>
        <v>8.76</v>
      </c>
      <c r="D4" s="8">
        <f>AVERAGE('Исходные данные (итог. анкета)'!P:P)</f>
        <v>9.8000000000000007</v>
      </c>
      <c r="E4" s="7">
        <f>COUNTIF('Исходные данные (итог. анкета)'!U:U,"нет")/COUNTA('Исходные данные (итог. анкета)'!U2:U499)</f>
        <v>0.84</v>
      </c>
      <c r="F4" s="8">
        <f>AVERAGE('Исходные данные (итог. анкета)'!Y:Y)</f>
        <v>10</v>
      </c>
      <c r="G4" s="4">
        <f>AVERAGE(B4:D4,F4)</f>
        <v>9.36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2026-07-01T10:31:47Z</dcterms:modified>
</cp:coreProperties>
</file>